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  <sheet xmlns:r="http://schemas.openxmlformats.org/officeDocument/2006/relationships" name="Revenue BrickToken" sheetId="2" state="visible" r:id="rId2"/>
    <sheet xmlns:r="http://schemas.openxmlformats.org/officeDocument/2006/relationships" name="Simulador Inversor" sheetId="3" state="visible" r:id="rId3"/>
    <sheet xmlns:r="http://schemas.openxmlformats.org/officeDocument/2006/relationships" name="Fees &amp; Comparativ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0"/>
    <numFmt numFmtId="167" formatCode="$#,##0;($#,##0);-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9A84C"/>
      <sz val="10"/>
    </font>
    <font>
      <name val="Arial"/>
      <b val="1"/>
      <color rgb="00FFFFFF"/>
      <sz val="11"/>
    </font>
    <font>
      <name val="Arial"/>
      <b val="1"/>
      <color rgb="001B2A4A"/>
      <sz val="11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CC0000"/>
      <sz val="11"/>
    </font>
    <font>
      <name val="Arial"/>
      <b val="1"/>
      <color rgb="000000FF"/>
      <sz val="12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5EFE0"/>
      </patternFill>
    </fill>
    <fill>
      <patternFill patternType="solid">
        <fgColor rgb="00FFFFFF"/>
      </patternFill>
    </fill>
    <fill>
      <patternFill patternType="solid">
        <fgColor rgb="00F0F0F0"/>
      </patternFill>
    </fill>
    <fill>
      <patternFill patternType="solid">
        <fgColor rgb="00FFFFF0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/>
    </xf>
    <xf numFmtId="16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/>
    </xf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/>
    </xf>
    <xf numFmtId="3" fontId="6" fillId="5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6" fontId="6" fillId="5" borderId="1" applyAlignment="1" pivotButton="0" quotePrefix="0" xfId="0">
      <alignment horizontal="left" vertical="center"/>
    </xf>
    <xf numFmtId="166" fontId="6" fillId="4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3" fontId="5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/>
    </xf>
    <xf numFmtId="167" fontId="7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/>
    </xf>
    <xf numFmtId="165" fontId="6" fillId="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/>
    </xf>
    <xf numFmtId="164" fontId="8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/>
    </xf>
    <xf numFmtId="166" fontId="5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/>
    </xf>
    <xf numFmtId="166" fontId="5" fillId="5" borderId="1" applyAlignment="1" pivotButton="0" quotePrefix="0" xfId="0">
      <alignment horizontal="left" vertical="center"/>
    </xf>
    <xf numFmtId="165" fontId="6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0" customWidth="1" min="3" max="3"/>
    <col width="20" customWidth="1" min="4" max="4"/>
    <col width="20" customWidth="1" min="5" max="5"/>
  </cols>
  <sheetData>
    <row r="1">
      <c r="B1" s="1" t="inlineStr">
        <is>
          <t>BRICKTOKEN - Unit Economics por Propiedad</t>
        </is>
      </c>
      <c r="C1" s="2" t="n"/>
      <c r="D1" s="2" t="n"/>
      <c r="E1" s="2" t="n"/>
    </row>
    <row r="2">
      <c r="B2" s="3" t="inlineStr">
        <is>
          <t>Modelo financiero por tipo de propiedad</t>
        </is>
      </c>
      <c r="C2" s="2" t="n"/>
      <c r="D2" s="2" t="n"/>
      <c r="E2" s="2" t="n"/>
    </row>
    <row r="4">
      <c r="A4" s="4" t="inlineStr"/>
      <c r="B4" s="4" t="inlineStr">
        <is>
          <t>Concepto</t>
        </is>
      </c>
      <c r="C4" s="4" t="inlineStr">
        <is>
          <t>Monoambiente Cordon</t>
        </is>
      </c>
      <c r="D4" s="4" t="inlineStr">
        <is>
          <t>Local Comercial</t>
        </is>
      </c>
      <c r="E4" s="4" t="inlineStr">
        <is>
          <t>Apto 2 Dorm Pocitos</t>
        </is>
      </c>
    </row>
    <row r="6">
      <c r="B6" s="5" t="inlineStr">
        <is>
          <t>DATOS DE LA PROPIEDAD</t>
        </is>
      </c>
      <c r="C6" s="6" t="inlineStr"/>
      <c r="D6" s="6" t="inlineStr"/>
      <c r="E6" s="6" t="inlineStr"/>
    </row>
    <row r="7">
      <c r="B7" s="7" t="inlineStr">
        <is>
          <t>Valor de compra (USD)</t>
        </is>
      </c>
      <c r="C7" s="8" t="n">
        <v>120000</v>
      </c>
      <c r="D7" s="8" t="n">
        <v>350000</v>
      </c>
      <c r="E7" s="8" t="n">
        <v>360000</v>
      </c>
    </row>
    <row r="8">
      <c r="B8" s="9" t="inlineStr">
        <is>
          <t>Alquiler mensual (USD)</t>
        </is>
      </c>
      <c r="C8" s="10" t="n">
        <v>750</v>
      </c>
      <c r="D8" s="10" t="n">
        <v>3500</v>
      </c>
      <c r="E8" s="10" t="n">
        <v>1490</v>
      </c>
    </row>
    <row r="9">
      <c r="B9" s="7" t="inlineStr">
        <is>
          <t>Precio del token (USD)</t>
        </is>
      </c>
      <c r="C9" s="8" t="n">
        <v>100</v>
      </c>
      <c r="D9" s="8" t="n">
        <v>100</v>
      </c>
      <c r="E9" s="8" t="n">
        <v>100</v>
      </c>
    </row>
    <row r="10">
      <c r="B10" s="11" t="inlineStr">
        <is>
          <t>Total tokens</t>
        </is>
      </c>
      <c r="C10" s="12">
        <f>C6/C9</f>
        <v/>
      </c>
      <c r="D10" s="12">
        <f>D6/D9</f>
        <v/>
      </c>
      <c r="E10" s="12">
        <f>E6/E9</f>
        <v/>
      </c>
    </row>
    <row r="11">
      <c r="B11" s="5" t="inlineStr">
        <is>
          <t>COSTOS ANUALES</t>
        </is>
      </c>
      <c r="C11" s="6" t="inlineStr"/>
      <c r="D11" s="6" t="inlineStr"/>
      <c r="E11" s="6" t="inlineStr"/>
    </row>
    <row r="12">
      <c r="B12" s="9" t="inlineStr">
        <is>
          <t>Contribucion + Primaria</t>
        </is>
      </c>
      <c r="C12" s="10" t="n">
        <v>800</v>
      </c>
      <c r="D12" s="10" t="n">
        <v>2500</v>
      </c>
      <c r="E12" s="10" t="n">
        <v>2500</v>
      </c>
    </row>
    <row r="13">
      <c r="B13" s="7" t="inlineStr">
        <is>
          <t>Mantenimiento (3%)</t>
        </is>
      </c>
      <c r="C13" s="13">
        <f>C7*12*0.03</f>
        <v/>
      </c>
      <c r="D13" s="13">
        <f>D7*12*0.03</f>
        <v/>
      </c>
      <c r="E13" s="13">
        <f>E7*12*0.03</f>
        <v/>
      </c>
    </row>
    <row r="14">
      <c r="B14" s="9" t="inlineStr">
        <is>
          <t>Vacancia (3-5%)</t>
        </is>
      </c>
      <c r="C14" s="14">
        <f>C7*12*0.03</f>
        <v/>
      </c>
      <c r="D14" s="14">
        <f>D7*12*0.05</f>
        <v/>
      </c>
      <c r="E14" s="14">
        <f>E7*12*0.05</f>
        <v/>
      </c>
    </row>
    <row r="15">
      <c r="B15" s="7" t="inlineStr">
        <is>
          <t>Seguro</t>
        </is>
      </c>
      <c r="C15" s="8" t="n">
        <v>200</v>
      </c>
      <c r="D15" s="8" t="n">
        <v>400</v>
      </c>
      <c r="E15" s="8" t="n">
        <v>400</v>
      </c>
    </row>
    <row r="16">
      <c r="B16" s="11" t="inlineStr">
        <is>
          <t>Total costos</t>
        </is>
      </c>
      <c r="C16" s="15">
        <f>SUM(C13:C16)</f>
        <v/>
      </c>
      <c r="D16" s="15">
        <f>SUM(D13:D16)</f>
        <v/>
      </c>
      <c r="E16" s="15">
        <f>SUM(E13:E16)</f>
        <v/>
      </c>
    </row>
    <row r="17">
      <c r="B17" s="5" t="inlineStr">
        <is>
          <t>INGRESOS</t>
        </is>
      </c>
      <c r="C17" s="6" t="inlineStr"/>
      <c r="D17" s="6" t="inlineStr"/>
      <c r="E17" s="6" t="inlineStr"/>
    </row>
    <row r="18">
      <c r="B18" s="11" t="inlineStr">
        <is>
          <t>Ingreso bruto anual</t>
        </is>
      </c>
      <c r="C18" s="15">
        <f>C7*12</f>
        <v/>
      </c>
      <c r="D18" s="15">
        <f>D7*12</f>
        <v/>
      </c>
      <c r="E18" s="15">
        <f>E7*12</f>
        <v/>
      </c>
    </row>
    <row r="19">
      <c r="B19" s="16" t="inlineStr">
        <is>
          <t>Ingreso neto</t>
        </is>
      </c>
      <c r="C19" s="17">
        <f>C20-C17</f>
        <v/>
      </c>
      <c r="D19" s="17">
        <f>D20-D17</f>
        <v/>
      </c>
      <c r="E19" s="17">
        <f>E20-E17</f>
        <v/>
      </c>
    </row>
    <row r="20">
      <c r="B20" s="5" t="inlineStr">
        <is>
          <t>FEE BRICKTOKEN</t>
        </is>
      </c>
      <c r="C20" s="6" t="inlineStr"/>
      <c r="D20" s="6" t="inlineStr"/>
      <c r="E20" s="6" t="inlineStr"/>
    </row>
    <row r="21">
      <c r="B21" s="16" t="inlineStr">
        <is>
          <t>Management fee (8%)</t>
        </is>
      </c>
      <c r="C21" s="17">
        <f>C21*0.08</f>
        <v/>
      </c>
      <c r="D21" s="17">
        <f>D21*0.08</f>
        <v/>
      </c>
      <c r="E21" s="17">
        <f>E21*0.08</f>
        <v/>
      </c>
    </row>
    <row r="22">
      <c r="B22" s="5" t="inlineStr">
        <is>
          <t>PARA EL INVERSOR</t>
        </is>
      </c>
      <c r="C22" s="6" t="inlineStr"/>
      <c r="D22" s="6" t="inlineStr"/>
      <c r="E22" s="6" t="inlineStr"/>
    </row>
    <row r="23">
      <c r="B23" s="5" t="inlineStr">
        <is>
          <t>Distribucion anual</t>
        </is>
      </c>
      <c r="C23" s="18">
        <f>C21-C23</f>
        <v/>
      </c>
      <c r="D23" s="18">
        <f>D21-D23</f>
        <v/>
      </c>
      <c r="E23" s="18">
        <f>E21-E23</f>
        <v/>
      </c>
    </row>
    <row r="24">
      <c r="B24" s="5" t="inlineStr">
        <is>
          <t>Yield neto (%)</t>
        </is>
      </c>
      <c r="C24" s="19">
        <f>C25/C6</f>
        <v/>
      </c>
      <c r="D24" s="19">
        <f>D25/D6</f>
        <v/>
      </c>
      <c r="E24" s="19">
        <f>E25/E6</f>
        <v/>
      </c>
    </row>
    <row r="25">
      <c r="B25" s="7" t="inlineStr">
        <is>
          <t>Apreciacion estimada</t>
        </is>
      </c>
      <c r="C25" s="20" t="inlineStr">
        <is>
          <t>3-5%</t>
        </is>
      </c>
      <c r="D25" s="20" t="inlineStr">
        <is>
          <t>2-4%</t>
        </is>
      </c>
      <c r="E25" s="20" t="inlineStr">
        <is>
          <t>3-5%</t>
        </is>
      </c>
    </row>
    <row r="26">
      <c r="B26" s="9" t="inlineStr">
        <is>
          <t>Retorno total estimado</t>
        </is>
      </c>
      <c r="C26" s="21" t="inlineStr">
        <is>
          <t>8.7-10.7%</t>
        </is>
      </c>
      <c r="D26" s="21" t="inlineStr">
        <is>
          <t>11.4-13.4%</t>
        </is>
      </c>
      <c r="E26" s="21" t="inlineStr">
        <is>
          <t>6.5-8.5%</t>
        </is>
      </c>
    </row>
    <row r="27">
      <c r="B27" s="5" t="inlineStr">
        <is>
          <t>POR TOKEN</t>
        </is>
      </c>
      <c r="C27" s="6" t="inlineStr"/>
      <c r="D27" s="6" t="inlineStr"/>
      <c r="E27" s="6" t="inlineStr"/>
    </row>
    <row r="28">
      <c r="B28" s="11" t="inlineStr">
        <is>
          <t>Distribucion anual/token</t>
        </is>
      </c>
      <c r="C28" s="22">
        <f>C25/C10</f>
        <v/>
      </c>
      <c r="D28" s="22">
        <f>D25/D10</f>
        <v/>
      </c>
      <c r="E28" s="22">
        <f>E25/E10</f>
        <v/>
      </c>
    </row>
    <row r="29">
      <c r="B29" s="16" t="inlineStr">
        <is>
          <t>Distribucion trimestral/token</t>
        </is>
      </c>
      <c r="C29" s="23">
        <f>C30/4</f>
        <v/>
      </c>
      <c r="D29" s="23">
        <f>D30/4</f>
        <v/>
      </c>
      <c r="E29" s="23">
        <f>E30/4</f>
        <v/>
      </c>
    </row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84C"/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8" customWidth="1" min="3" max="3"/>
    <col width="18" customWidth="1" min="4" max="4"/>
    <col width="18" customWidth="1" min="5" max="5"/>
  </cols>
  <sheetData>
    <row r="1">
      <c r="B1" s="24" t="inlineStr">
        <is>
          <t>BRICKTOKEN - Proyecciones de Revenue</t>
        </is>
      </c>
      <c r="C1" s="2" t="n"/>
      <c r="D1" s="2" t="n"/>
      <c r="E1" s="2" t="n"/>
    </row>
    <row r="2">
      <c r="B2" s="25" t="inlineStr">
        <is>
          <t>Modelo a 3 anos</t>
        </is>
      </c>
      <c r="C2" s="2" t="n"/>
      <c r="D2" s="2" t="n"/>
      <c r="E2" s="2" t="n"/>
    </row>
    <row r="4">
      <c r="A4" s="26" t="inlineStr"/>
      <c r="B4" s="26" t="inlineStr">
        <is>
          <t>Concepto</t>
        </is>
      </c>
      <c r="C4" s="26" t="inlineStr">
        <is>
          <t>Ano 1</t>
        </is>
      </c>
      <c r="D4" s="26" t="inlineStr">
        <is>
          <t>Ano 2</t>
        </is>
      </c>
      <c r="E4" s="26" t="inlineStr">
        <is>
          <t>Ano 3</t>
        </is>
      </c>
    </row>
    <row r="6">
      <c r="B6" s="5" t="inlineStr">
        <is>
          <t>ESCALA</t>
        </is>
      </c>
      <c r="C6" s="6" t="inlineStr"/>
      <c r="D6" s="6" t="inlineStr"/>
      <c r="E6" s="6" t="inlineStr"/>
    </row>
    <row r="7">
      <c r="B7" s="7" t="inlineStr">
        <is>
          <t>Propiedades activas</t>
        </is>
      </c>
      <c r="C7" s="27" t="n">
        <v>4</v>
      </c>
      <c r="D7" s="27" t="n">
        <v>15</v>
      </c>
      <c r="E7" s="27" t="n">
        <v>40</v>
      </c>
    </row>
    <row r="8">
      <c r="B8" s="9" t="inlineStr">
        <is>
          <t>Valor promedio propiedad (USD)</t>
        </is>
      </c>
      <c r="C8" s="10" t="n">
        <v>200000</v>
      </c>
      <c r="D8" s="10" t="n">
        <v>200000</v>
      </c>
      <c r="E8" s="10" t="n">
        <v>200000</v>
      </c>
    </row>
    <row r="9">
      <c r="B9" s="5" t="inlineStr">
        <is>
          <t>Capital tokenizado total (AUM)</t>
        </is>
      </c>
      <c r="C9" s="18">
        <f>C6*C7</f>
        <v/>
      </c>
      <c r="D9" s="18">
        <f>D6*D7</f>
        <v/>
      </c>
      <c r="E9" s="18">
        <f>E6*E7</f>
        <v/>
      </c>
    </row>
    <row r="10">
      <c r="B10" s="9" t="inlineStr">
        <is>
          <t>% tokens vendidos</t>
        </is>
      </c>
      <c r="C10" s="28" t="n">
        <v>0.6</v>
      </c>
      <c r="D10" s="28" t="n">
        <v>0.7</v>
      </c>
      <c r="E10" s="28" t="n">
        <v>0.8</v>
      </c>
    </row>
    <row r="11">
      <c r="B11" s="16" t="inlineStr">
        <is>
          <t>Capital vendido a inversores</t>
        </is>
      </c>
      <c r="C11" s="17">
        <f>C8*C9</f>
        <v/>
      </c>
      <c r="D11" s="17">
        <f>D8*D9</f>
        <v/>
      </c>
      <c r="E11" s="17">
        <f>E8*E9</f>
        <v/>
      </c>
    </row>
    <row r="12">
      <c r="B12" s="9" t="inlineStr">
        <is>
          <t>Inversores activos</t>
        </is>
      </c>
      <c r="C12" s="29" t="n">
        <v>50</v>
      </c>
      <c r="D12" s="29" t="n">
        <v>300</v>
      </c>
      <c r="E12" s="29" t="n">
        <v>1200</v>
      </c>
    </row>
    <row r="13">
      <c r="B13" s="5" t="inlineStr">
        <is>
          <t>REVENUE</t>
        </is>
      </c>
      <c r="C13" s="6" t="inlineStr"/>
      <c r="D13" s="6" t="inlineStr"/>
      <c r="E13" s="6" t="inlineStr"/>
    </row>
    <row r="14">
      <c r="B14" s="11" t="inlineStr">
        <is>
          <t>Fee compra (2.5%)</t>
        </is>
      </c>
      <c r="C14" s="15">
        <f>C10*0.025</f>
        <v/>
      </c>
      <c r="D14" s="15">
        <f>(D10-C10)*0.025</f>
        <v/>
      </c>
      <c r="E14" s="15">
        <f>(E10-D10)*0.025</f>
        <v/>
      </c>
    </row>
    <row r="15">
      <c r="B15" s="16" t="inlineStr">
        <is>
          <t>Management fee anual (8% neto)</t>
        </is>
      </c>
      <c r="C15" s="17">
        <f>C8*0.05*0.08</f>
        <v/>
      </c>
      <c r="D15" s="17">
        <f>D8*0.05*0.08</f>
        <v/>
      </c>
      <c r="E15" s="17">
        <f>E8*0.05*0.08</f>
        <v/>
      </c>
    </row>
    <row r="16">
      <c r="B16" s="11" t="inlineStr">
        <is>
          <t>Fee marketplace (1.5%)</t>
        </is>
      </c>
      <c r="C16" s="30" t="n">
        <v>0</v>
      </c>
      <c r="D16" s="15">
        <f>D10*0.03*0.015</f>
        <v/>
      </c>
      <c r="E16" s="15">
        <f>E10*0.05*0.015</f>
        <v/>
      </c>
    </row>
    <row r="17">
      <c r="B17" s="16" t="inlineStr">
        <is>
          <t>Renta tokens propios</t>
        </is>
      </c>
      <c r="C17" s="17">
        <f>(C8-C10)*0.05</f>
        <v/>
      </c>
      <c r="D17" s="17">
        <f>(D8-D10)*0.05</f>
        <v/>
      </c>
      <c r="E17" s="17">
        <f>(E8-E10)*0.05</f>
        <v/>
      </c>
    </row>
    <row r="18">
      <c r="B18" s="5" t="inlineStr">
        <is>
          <t>Revenue total</t>
        </is>
      </c>
      <c r="C18" s="18">
        <f>SUM(C13:C16)</f>
        <v/>
      </c>
      <c r="D18" s="18">
        <f>SUM(D13:D16)</f>
        <v/>
      </c>
      <c r="E18" s="18">
        <f>SUM(E13:E16)</f>
        <v/>
      </c>
    </row>
    <row r="19">
      <c r="B19" s="5" t="inlineStr">
        <is>
          <t>COSTOS OPERATIVOS</t>
        </is>
      </c>
      <c r="C19" s="6" t="inlineStr"/>
      <c r="D19" s="6" t="inlineStr"/>
      <c r="E19" s="6" t="inlineStr"/>
    </row>
    <row r="20">
      <c r="B20" s="9" t="inlineStr">
        <is>
          <t>Legal/fideicomiso ($3K x prop)</t>
        </is>
      </c>
      <c r="C20" s="14">
        <f>C6*3000</f>
        <v/>
      </c>
      <c r="D20" s="14">
        <f>D6*3000</f>
        <v/>
      </c>
      <c r="E20" s="14">
        <f>E6*3000</f>
        <v/>
      </c>
    </row>
    <row r="21">
      <c r="B21" s="7" t="inlineStr">
        <is>
          <t>Desarrollo + hosting</t>
        </is>
      </c>
      <c r="C21" s="8" t="n">
        <v>24000</v>
      </c>
      <c r="D21" s="8" t="n">
        <v>36000</v>
      </c>
      <c r="E21" s="8" t="n">
        <v>60000</v>
      </c>
    </row>
    <row r="22">
      <c r="B22" s="9" t="inlineStr">
        <is>
          <t>Compliance/contabilidad</t>
        </is>
      </c>
      <c r="C22" s="10" t="n">
        <v>12000</v>
      </c>
      <c r="D22" s="10" t="n">
        <v>18000</v>
      </c>
      <c r="E22" s="10" t="n">
        <v>24000</v>
      </c>
    </row>
    <row r="23">
      <c r="B23" s="7" t="inlineStr">
        <is>
          <t>Marketing</t>
        </is>
      </c>
      <c r="C23" s="8" t="n">
        <v>6000</v>
      </c>
      <c r="D23" s="8" t="n">
        <v>24000</v>
      </c>
      <c r="E23" s="8" t="n">
        <v>48000</v>
      </c>
    </row>
    <row r="24">
      <c r="B24" s="9" t="inlineStr">
        <is>
          <t>Equipo (salarios)</t>
        </is>
      </c>
      <c r="C24" s="10" t="n">
        <v>0</v>
      </c>
      <c r="D24" s="10" t="n">
        <v>36000</v>
      </c>
      <c r="E24" s="10" t="n">
        <v>120000</v>
      </c>
    </row>
    <row r="25">
      <c r="B25" s="16" t="inlineStr">
        <is>
          <t>Tasaciones ($400 x prop x 2/ano)</t>
        </is>
      </c>
      <c r="C25" s="17">
        <f>C6*400*2</f>
        <v/>
      </c>
      <c r="D25" s="17">
        <f>D6*400*2</f>
        <v/>
      </c>
      <c r="E25" s="17">
        <f>E6*400*2</f>
        <v/>
      </c>
    </row>
    <row r="26">
      <c r="B26" s="5" t="inlineStr">
        <is>
          <t>Total costos</t>
        </is>
      </c>
      <c r="C26" s="18">
        <f>SUM(C19:C24)</f>
        <v/>
      </c>
      <c r="D26" s="18">
        <f>SUM(D19:D24)</f>
        <v/>
      </c>
      <c r="E26" s="18">
        <f>SUM(E19:E24)</f>
        <v/>
      </c>
    </row>
    <row r="27">
      <c r="B27" s="5" t="inlineStr">
        <is>
          <t>RESULTADO</t>
        </is>
      </c>
      <c r="C27" s="6" t="inlineStr"/>
      <c r="D27" s="6" t="inlineStr"/>
      <c r="E27" s="6" t="inlineStr"/>
    </row>
    <row r="28">
      <c r="B28" s="31" t="inlineStr">
        <is>
          <t>EBITDA</t>
        </is>
      </c>
      <c r="C28" s="32">
        <f>C17-C25</f>
        <v/>
      </c>
      <c r="D28" s="32">
        <f>D17-D25</f>
        <v/>
      </c>
      <c r="E28" s="32">
        <f>E17-E25</f>
        <v/>
      </c>
    </row>
    <row r="29">
      <c r="B29" s="33" t="inlineStr">
        <is>
          <t>Margen</t>
        </is>
      </c>
      <c r="C29" s="34">
        <f>IF(C17=0,0,C27/C17)</f>
        <v/>
      </c>
      <c r="D29" s="34">
        <f>IF(D17=0,0,D27/D17)</f>
        <v/>
      </c>
      <c r="E29" s="34">
        <f>IF(E17=0,0,E27/E17)</f>
        <v/>
      </c>
    </row>
  </sheetData>
  <mergeCells count="2">
    <mergeCell ref="B1:E1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8B22"/>
    <outlinePr summaryBelow="1" summaryRight="1"/>
    <pageSetUpPr/>
  </sheetPr>
  <dimension ref="B1:G23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24" t="inlineStr">
        <is>
          <t>SIMULADOR DE INVERSION - BRICKTOKEN</t>
        </is>
      </c>
      <c r="C1" s="2" t="n"/>
      <c r="D1" s="2" t="n"/>
      <c r="E1" s="2" t="n"/>
      <c r="F1" s="2" t="n"/>
      <c r="G1" s="2" t="n"/>
    </row>
    <row r="2">
      <c r="B2" s="25" t="inlineStr">
        <is>
          <t>Ingresa tus datos y calcula tu retorno estimado</t>
        </is>
      </c>
      <c r="C2" s="2" t="n"/>
      <c r="D2" s="2" t="n"/>
      <c r="E2" s="2" t="n"/>
      <c r="F2" s="2" t="n"/>
      <c r="G2" s="2" t="n"/>
    </row>
    <row r="4">
      <c r="B4" s="5" t="inlineStr">
        <is>
          <t>INPUTS (modifica estos valores)</t>
        </is>
      </c>
      <c r="C4" s="6" t="inlineStr"/>
    </row>
    <row r="5">
      <c r="B5" s="35" t="inlineStr">
        <is>
          <t>Monto a invertir (USD)</t>
        </is>
      </c>
      <c r="C5" s="36" t="n">
        <v>1000</v>
      </c>
    </row>
    <row r="6">
      <c r="B6" s="35" t="inlineStr">
        <is>
          <t>Yield neto anual (%)</t>
        </is>
      </c>
      <c r="C6" s="37" t="n">
        <v>0.057</v>
      </c>
    </row>
    <row r="7">
      <c r="B7" s="35" t="inlineStr">
        <is>
          <t>Apreciacion anual (%)</t>
        </is>
      </c>
      <c r="C7" s="37" t="n">
        <v>0.04</v>
      </c>
    </row>
    <row r="8">
      <c r="B8" s="35" t="inlineStr">
        <is>
          <t>Fee de compra (%)</t>
        </is>
      </c>
      <c r="C8" s="37" t="n">
        <v>0.025</v>
      </c>
    </row>
    <row r="9">
      <c r="B9" s="35" t="inlineStr">
        <is>
          <t>Horizonte (anos)</t>
        </is>
      </c>
      <c r="C9" s="38" t="n">
        <v>5</v>
      </c>
    </row>
    <row r="11">
      <c r="B11" s="5" t="inlineStr">
        <is>
          <t>Inversion efectiva (post fee)</t>
        </is>
      </c>
      <c r="C11" s="39">
        <f>C5*(1-C8)</f>
        <v/>
      </c>
    </row>
    <row r="13">
      <c r="B13" s="26" t="inlineStr">
        <is>
          <t>Ano</t>
        </is>
      </c>
      <c r="C13" s="26" t="inlineStr">
        <is>
          <t>Valor Tokens</t>
        </is>
      </c>
      <c r="D13" s="26" t="inlineStr">
        <is>
          <t>Renta del Ano</t>
        </is>
      </c>
      <c r="E13" s="26" t="inlineStr">
        <is>
          <t>Renta Acumulada</t>
        </is>
      </c>
      <c r="F13" s="26" t="inlineStr">
        <is>
          <t>Valor Total</t>
        </is>
      </c>
      <c r="G13" s="26" t="inlineStr">
        <is>
          <t>Retorno (%)</t>
        </is>
      </c>
    </row>
    <row r="14">
      <c r="B14" s="40" t="n">
        <v>1</v>
      </c>
      <c r="C14" s="41">
        <f>$C$11*(1+$C$7)^B14</f>
        <v/>
      </c>
      <c r="D14" s="41">
        <f>$C$11*$C$6</f>
        <v/>
      </c>
      <c r="E14" s="41">
        <f>D14</f>
        <v/>
      </c>
      <c r="F14" s="23">
        <f>C14+E14</f>
        <v/>
      </c>
      <c r="G14" s="42">
        <f>(F14-$C$5)/$C$5</f>
        <v/>
      </c>
    </row>
    <row r="15">
      <c r="B15" s="43" t="n">
        <v>2</v>
      </c>
      <c r="C15" s="44">
        <f>$C$11*(1+$C$7)^B15</f>
        <v/>
      </c>
      <c r="D15" s="44">
        <f>$C$11*$C$6</f>
        <v/>
      </c>
      <c r="E15" s="44">
        <f>E14+D15</f>
        <v/>
      </c>
      <c r="F15" s="22">
        <f>C15+E15</f>
        <v/>
      </c>
      <c r="G15" s="45">
        <f>(F15-$C$5)/$C$5</f>
        <v/>
      </c>
    </row>
    <row r="16">
      <c r="B16" s="40" t="n">
        <v>3</v>
      </c>
      <c r="C16" s="41">
        <f>$C$11*(1+$C$7)^B16</f>
        <v/>
      </c>
      <c r="D16" s="41">
        <f>$C$11*$C$6</f>
        <v/>
      </c>
      <c r="E16" s="41">
        <f>E15+D16</f>
        <v/>
      </c>
      <c r="F16" s="23">
        <f>C16+E16</f>
        <v/>
      </c>
      <c r="G16" s="42">
        <f>(F16-$C$5)/$C$5</f>
        <v/>
      </c>
    </row>
    <row r="17">
      <c r="B17" s="43" t="n">
        <v>4</v>
      </c>
      <c r="C17" s="44">
        <f>$C$11*(1+$C$7)^B17</f>
        <v/>
      </c>
      <c r="D17" s="44">
        <f>$C$11*$C$6</f>
        <v/>
      </c>
      <c r="E17" s="44">
        <f>E16+D17</f>
        <v/>
      </c>
      <c r="F17" s="22">
        <f>C17+E17</f>
        <v/>
      </c>
      <c r="G17" s="45">
        <f>(F17-$C$5)/$C$5</f>
        <v/>
      </c>
    </row>
    <row r="18">
      <c r="B18" s="40" t="n">
        <v>5</v>
      </c>
      <c r="C18" s="41">
        <f>$C$11*(1+$C$7)^B18</f>
        <v/>
      </c>
      <c r="D18" s="41">
        <f>$C$11*$C$6</f>
        <v/>
      </c>
      <c r="E18" s="41">
        <f>E17+D18</f>
        <v/>
      </c>
      <c r="F18" s="23">
        <f>C18+E18</f>
        <v/>
      </c>
      <c r="G18" s="42">
        <f>(F18-$C$5)/$C$5</f>
        <v/>
      </c>
    </row>
    <row r="19">
      <c r="B19" s="43" t="n">
        <v>6</v>
      </c>
      <c r="C19" s="44">
        <f>$C$11*(1+$C$7)^B19</f>
        <v/>
      </c>
      <c r="D19" s="44">
        <f>$C$11*$C$6</f>
        <v/>
      </c>
      <c r="E19" s="44">
        <f>E18+D19</f>
        <v/>
      </c>
      <c r="F19" s="22">
        <f>C19+E19</f>
        <v/>
      </c>
      <c r="G19" s="45">
        <f>(F19-$C$5)/$C$5</f>
        <v/>
      </c>
    </row>
    <row r="20">
      <c r="B20" s="40" t="n">
        <v>7</v>
      </c>
      <c r="C20" s="41">
        <f>$C$11*(1+$C$7)^B20</f>
        <v/>
      </c>
      <c r="D20" s="41">
        <f>$C$11*$C$6</f>
        <v/>
      </c>
      <c r="E20" s="41">
        <f>E19+D20</f>
        <v/>
      </c>
      <c r="F20" s="23">
        <f>C20+E20</f>
        <v/>
      </c>
      <c r="G20" s="42">
        <f>(F20-$C$5)/$C$5</f>
        <v/>
      </c>
    </row>
    <row r="21">
      <c r="B21" s="43" t="n">
        <v>8</v>
      </c>
      <c r="C21" s="44">
        <f>$C$11*(1+$C$7)^B21</f>
        <v/>
      </c>
      <c r="D21" s="44">
        <f>$C$11*$C$6</f>
        <v/>
      </c>
      <c r="E21" s="44">
        <f>E20+D21</f>
        <v/>
      </c>
      <c r="F21" s="22">
        <f>C21+E21</f>
        <v/>
      </c>
      <c r="G21" s="45">
        <f>(F21-$C$5)/$C$5</f>
        <v/>
      </c>
    </row>
    <row r="22">
      <c r="B22" s="40" t="n">
        <v>9</v>
      </c>
      <c r="C22" s="41">
        <f>$C$11*(1+$C$7)^B22</f>
        <v/>
      </c>
      <c r="D22" s="41">
        <f>$C$11*$C$6</f>
        <v/>
      </c>
      <c r="E22" s="41">
        <f>E21+D22</f>
        <v/>
      </c>
      <c r="F22" s="23">
        <f>C22+E22</f>
        <v/>
      </c>
      <c r="G22" s="42">
        <f>(F22-$C$5)/$C$5</f>
        <v/>
      </c>
    </row>
    <row r="23">
      <c r="B23" s="43" t="n">
        <v>10</v>
      </c>
      <c r="C23" s="44">
        <f>$C$11*(1+$C$7)^B23</f>
        <v/>
      </c>
      <c r="D23" s="44">
        <f>$C$11*$C$6</f>
        <v/>
      </c>
      <c r="E23" s="44">
        <f>E22+D23</f>
        <v/>
      </c>
      <c r="F23" s="22">
        <f>C23+E23</f>
        <v/>
      </c>
      <c r="G23" s="45">
        <f>(F23-$C$5)/$C$5</f>
        <v/>
      </c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84C"/>
    <outlinePr summaryBelow="1" summaryRight="1"/>
    <pageSetUpPr/>
  </sheetPr>
  <dimension ref="B1:F14"/>
  <sheetViews>
    <sheetView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B1" s="24" t="inlineStr">
        <is>
          <t>COMPARATIVA DE INVERSIONES</t>
        </is>
      </c>
      <c r="C1" s="2" t="n"/>
      <c r="D1" s="2" t="n"/>
      <c r="E1" s="2" t="n"/>
      <c r="F1" s="2" t="n"/>
    </row>
    <row r="2">
      <c r="B2" s="25" t="inlineStr">
        <is>
          <t>BrickToken vs. alternativas tradicionales</t>
        </is>
      </c>
      <c r="C2" s="2" t="n"/>
      <c r="D2" s="2" t="n"/>
      <c r="E2" s="2" t="n"/>
      <c r="F2" s="2" t="n"/>
    </row>
    <row r="4">
      <c r="B4" s="26" t="inlineStr">
        <is>
          <t>Concepto</t>
        </is>
      </c>
      <c r="C4" s="46" t="inlineStr">
        <is>
          <t>BrickToken</t>
        </is>
      </c>
      <c r="D4" s="26" t="inlineStr">
        <is>
          <t>Compra directa</t>
        </is>
      </c>
      <c r="E4" s="26" t="inlineStr">
        <is>
          <t>Plazo fijo USD</t>
        </is>
      </c>
      <c r="F4" s="26" t="inlineStr">
        <is>
          <t>S&amp;P 500</t>
        </is>
      </c>
    </row>
    <row r="5">
      <c r="B5" s="11" t="inlineStr">
        <is>
          <t>Inversion minima</t>
        </is>
      </c>
      <c r="C5" s="47" t="inlineStr">
        <is>
          <t>$100</t>
        </is>
      </c>
      <c r="D5" s="48" t="inlineStr">
        <is>
          <t>$120,000+</t>
        </is>
      </c>
      <c r="E5" s="48" t="inlineStr">
        <is>
          <t>$1,000</t>
        </is>
      </c>
      <c r="F5" s="48" t="inlineStr">
        <is>
          <t>$500</t>
        </is>
      </c>
    </row>
    <row r="6">
      <c r="B6" s="16" t="inlineStr">
        <is>
          <t>Liquidez</t>
        </is>
      </c>
      <c r="C6" s="47" t="inlineStr">
        <is>
          <t>Media (marketplace)</t>
        </is>
      </c>
      <c r="D6" s="49" t="inlineStr">
        <is>
          <t>Muy baja (meses)</t>
        </is>
      </c>
      <c r="E6" s="49" t="inlineStr">
        <is>
          <t>Alta (30-365 dias)</t>
        </is>
      </c>
      <c r="F6" s="49" t="inlineStr">
        <is>
          <t>Alta (inmediata)</t>
        </is>
      </c>
    </row>
    <row r="7">
      <c r="B7" s="11" t="inlineStr">
        <is>
          <t>Gestion necesaria</t>
        </is>
      </c>
      <c r="C7" s="47" t="inlineStr">
        <is>
          <t>Ninguna</t>
        </is>
      </c>
      <c r="D7" s="48" t="inlineStr">
        <is>
          <t>Total</t>
        </is>
      </c>
      <c r="E7" s="48" t="inlineStr">
        <is>
          <t>Ninguna</t>
        </is>
      </c>
      <c r="F7" s="48" t="inlineStr">
        <is>
          <t>Ninguna</t>
        </is>
      </c>
    </row>
    <row r="8">
      <c r="B8" s="16" t="inlineStr">
        <is>
          <t>Yield estimado</t>
        </is>
      </c>
      <c r="C8" s="47" t="inlineStr">
        <is>
          <t>5-9%</t>
        </is>
      </c>
      <c r="D8" s="49" t="inlineStr">
        <is>
          <t>4-6%</t>
        </is>
      </c>
      <c r="E8" s="49" t="inlineStr">
        <is>
          <t>~3%</t>
        </is>
      </c>
      <c r="F8" s="49" t="inlineStr">
        <is>
          <t>~10%</t>
        </is>
      </c>
    </row>
    <row r="9">
      <c r="B9" s="11" t="inlineStr">
        <is>
          <t>Respaldo tangible</t>
        </is>
      </c>
      <c r="C9" s="47" t="inlineStr">
        <is>
          <t>Inmueble real</t>
        </is>
      </c>
      <c r="D9" s="48" t="inlineStr">
        <is>
          <t>Inmueble real</t>
        </is>
      </c>
      <c r="E9" s="48" t="inlineStr">
        <is>
          <t>Banco</t>
        </is>
      </c>
      <c r="F9" s="48" t="inlineStr">
        <is>
          <t>Acciones</t>
        </is>
      </c>
    </row>
    <row r="10">
      <c r="B10" s="16" t="inlineStr">
        <is>
          <t>Diversificacion</t>
        </is>
      </c>
      <c r="C10" s="47" t="inlineStr">
        <is>
          <t>Multiples props</t>
        </is>
      </c>
      <c r="D10" s="49" t="inlineStr">
        <is>
          <t>1 propiedad</t>
        </is>
      </c>
      <c r="E10" s="49" t="inlineStr">
        <is>
          <t>N/A</t>
        </is>
      </c>
      <c r="F10" s="49" t="inlineStr">
        <is>
          <t>Alta</t>
        </is>
      </c>
    </row>
    <row r="11">
      <c r="B11" s="11" t="inlineStr">
        <is>
          <t>Transparencia</t>
        </is>
      </c>
      <c r="C11" s="47" t="inlineStr">
        <is>
          <t>Total (docs, tasaciones)</t>
        </is>
      </c>
      <c r="D11" s="48" t="inlineStr">
        <is>
          <t>Variable</t>
        </is>
      </c>
      <c r="E11" s="48" t="inlineStr">
        <is>
          <t>Baja</t>
        </is>
      </c>
      <c r="F11" s="48" t="inlineStr">
        <is>
          <t>Alta</t>
        </is>
      </c>
    </row>
    <row r="12">
      <c r="B12" s="16" t="inlineStr">
        <is>
          <t>Fees</t>
        </is>
      </c>
      <c r="C12" s="47" t="inlineStr">
        <is>
          <t>2.5% entrada + 8% mgmt</t>
        </is>
      </c>
      <c r="D12" s="49" t="inlineStr">
        <is>
          <t>Escribania ~3% + imp.</t>
        </is>
      </c>
      <c r="E12" s="49" t="inlineStr">
        <is>
          <t>0%</t>
        </is>
      </c>
      <c r="F12" s="49" t="inlineStr">
        <is>
          <t>0.03-0.5%</t>
        </is>
      </c>
    </row>
    <row r="13">
      <c r="B13" s="11" t="inlineStr">
        <is>
          <t>Accesibilidad</t>
        </is>
      </c>
      <c r="C13" s="47" t="inlineStr">
        <is>
          <t>Online, inmediato</t>
        </is>
      </c>
      <c r="D13" s="48" t="inlineStr">
        <is>
          <t>Presencial, meses</t>
        </is>
      </c>
      <c r="E13" s="48" t="inlineStr">
        <is>
          <t>Presencial/online</t>
        </is>
      </c>
      <c r="F13" s="48" t="inlineStr">
        <is>
          <t>Online</t>
        </is>
      </c>
    </row>
    <row r="14">
      <c r="B14" s="16" t="inlineStr">
        <is>
          <t>Proteccion inflacion</t>
        </is>
      </c>
      <c r="C14" s="47" t="inlineStr">
        <is>
          <t>Si (inmueble)</t>
        </is>
      </c>
      <c r="D14" s="49" t="inlineStr">
        <is>
          <t>Si (inmueble)</t>
        </is>
      </c>
      <c r="E14" s="49" t="inlineStr">
        <is>
          <t>No</t>
        </is>
      </c>
      <c r="F14" s="49" t="inlineStr">
        <is>
          <t>Parcial</t>
        </is>
      </c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2026-04-12T22:06:15Z</dcterms:created>
  <dcterms:modified xmlns:dcterms="http://purl.org/dc/terms/" xmlns:xsi="http://www.w3.org/2001/XMLSchema-instance" xsi:type="dcterms:W3CDTF">2026-04-12T22:06:15Z</dcterms:modified>
</cp:coreProperties>
</file>